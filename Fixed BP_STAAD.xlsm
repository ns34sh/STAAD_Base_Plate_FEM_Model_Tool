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T:\ES\ES_GROUP_CONV\CIVIL\Namit Sharma\"/>
    </mc:Choice>
  </mc:AlternateContent>
  <xr:revisionPtr revIDLastSave="0" documentId="13_ncr:1_{C5F8300C-8089-41E8-A513-11C58249965E}" xr6:coauthVersionLast="36" xr6:coauthVersionMax="36" xr10:uidLastSave="{00000000-0000-0000-0000-000000000000}"/>
  <bookViews>
    <workbookView xWindow="0" yWindow="0" windowWidth="19200" windowHeight="11955" activeTab="1" xr2:uid="{00000000-000D-0000-FFFF-FFFF00000000}"/>
  </bookViews>
  <sheets>
    <sheet name="Instructions" sheetId="2" r:id="rId1"/>
    <sheet name="Geometry" sheetId="1"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23" i="1" l="1"/>
  <c r="G21" i="1"/>
  <c r="G13" i="1"/>
  <c r="E31" i="1"/>
  <c r="E32" i="1"/>
  <c r="E33" i="1"/>
  <c r="C33" i="1"/>
  <c r="C32" i="1"/>
  <c r="C31" i="1"/>
  <c r="C30" i="1"/>
  <c r="C29" i="1"/>
  <c r="C28" i="1"/>
  <c r="G25" i="1"/>
  <c r="G23" i="1"/>
  <c r="G22" i="1"/>
  <c r="G19" i="1"/>
  <c r="G18" i="1"/>
  <c r="G16" i="1"/>
  <c r="G15" i="1"/>
  <c r="G12" i="1"/>
  <c r="G10" i="1"/>
  <c r="G11" i="1"/>
  <c r="G8" i="1"/>
  <c r="G7" i="1"/>
  <c r="G5" i="1"/>
  <c r="G4" i="1"/>
  <c r="I23" i="1" l="1"/>
  <c r="D33" i="1"/>
  <c r="D32" i="1"/>
  <c r="D31" i="1"/>
  <c r="F25" i="1"/>
</calcChain>
</file>

<file path=xl/sharedStrings.xml><?xml version="1.0" encoding="utf-8"?>
<sst xmlns="http://schemas.openxmlformats.org/spreadsheetml/2006/main" count="49" uniqueCount="49">
  <si>
    <t>Column depth</t>
  </si>
  <si>
    <t>Column width</t>
  </si>
  <si>
    <t>Type of column section</t>
  </si>
  <si>
    <t>I-Section</t>
  </si>
  <si>
    <t>Orientation of member</t>
  </si>
  <si>
    <t>degrees</t>
  </si>
  <si>
    <t>Thickness of column flange</t>
  </si>
  <si>
    <t>Thickness of column web</t>
  </si>
  <si>
    <t>Plate length in X direction</t>
  </si>
  <si>
    <t>Plate length in Z direction</t>
  </si>
  <si>
    <t>Plate thickness</t>
  </si>
  <si>
    <t>ksi</t>
  </si>
  <si>
    <t>Bolt length</t>
  </si>
  <si>
    <t>Bolt dia</t>
  </si>
  <si>
    <t>Bolt spacing in X direction</t>
  </si>
  <si>
    <t>Bolt spacing in Z direction</t>
  </si>
  <si>
    <t xml:space="preserve">Input Unit </t>
  </si>
  <si>
    <t>English</t>
  </si>
  <si>
    <t>Fx</t>
  </si>
  <si>
    <t>Fy</t>
  </si>
  <si>
    <t>Fz</t>
  </si>
  <si>
    <t>Mx</t>
  </si>
  <si>
    <t>My</t>
  </si>
  <si>
    <t>Mz</t>
  </si>
  <si>
    <t>Grade of concrete</t>
  </si>
  <si>
    <t xml:space="preserve">Thickness of concrete </t>
  </si>
  <si>
    <t>Modulus of subgrade reaction of concrete</t>
  </si>
  <si>
    <t xml:space="preserve">Plate pressure due to self wt of the plate = </t>
  </si>
  <si>
    <t>Factored moments 10" above BOBP: (moments reduced as the point of application of lateral loads is 10" above BOBP)</t>
  </si>
  <si>
    <t>Factored design forces (use signs as per STAAD reactions)</t>
  </si>
  <si>
    <t>SLAVE RIGID MASTER 876 JOINT 855 TO 879</t>
  </si>
  <si>
    <t>Add the below commands in the support specification in STAAD editor:</t>
  </si>
  <si>
    <t>(user needs to input forces as per this orientation)</t>
  </si>
  <si>
    <t>Instructions:</t>
  </si>
  <si>
    <t>1) Input unit for "English" unit should be set in STAAD to "kips" and "in". For "Metric", units should be set to "kN" and "mm".</t>
  </si>
  <si>
    <t>2) Values shall be entered in "Geometry" sheet as per units displayed  to the right of the value.</t>
  </si>
  <si>
    <t>4) Before running the macro, user needs to ensure that there is no geometry (nodes) and load cases in the already open STAAD file.</t>
  </si>
  <si>
    <t>3) User needs to create a new STAAD file with units defined in 1) and open it before running the macro in "Geometry" sheet. No other STAAD file shall be open.</t>
  </si>
  <si>
    <t xml:space="preserve">     If this is not the case then the FEM geometry can still be created by placing bolts outside the column dimensions and then manually moving the bolts in GUI to the requiered position.</t>
  </si>
  <si>
    <t xml:space="preserve">        manually carried out by user if shear key is not provided.</t>
  </si>
  <si>
    <t>Grade of plate (will not be used in analysis)</t>
  </si>
  <si>
    <t>Bolt grade (will not be used in analysis)</t>
  </si>
  <si>
    <t>5) After entering all the input values, click "Create geometry" button in "Geometry" sheet.</t>
  </si>
  <si>
    <t>6) If macro needs to be rerun then the user needs to manually delete any existing geometry in the already open STAAD file.</t>
  </si>
  <si>
    <t>7) The limitation of the sheet is that the bolts spacing in X and Z directions need to be greater than the column width and depth respectively.</t>
  </si>
  <si>
    <t>8) Stiffeners if required can be added throught "Generate Surface Meshing" option in STAAD.</t>
  </si>
  <si>
    <t>9) After running the macro, user needs to manually add the "Perform Analysis" command, "Steel" material property to the plates and additional support specifications (refer "Geometry" sheet) command to the STAAD file.</t>
  </si>
  <si>
    <t>10) After running the file, user can verify bolt tension, base pressure and plate stresses to check if these are within limits.</t>
  </si>
  <si>
    <t xml:space="preserve">11) "Tension only" specifications is assigned to bolts. As a result, no shear will get trasferred to bolt during the analysis. Thus, check for shear-tension interaction needs to be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</si>
</sst>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4" tint="0.7999816888943144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2" fontId="0" fillId="0" borderId="0" xfId="0" applyNumberFormat="1"/>
    <xf numFmtId="0" fontId="0" fillId="0" borderId="0" xfId="0"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161925</xdr:colOff>
          <xdr:row>1</xdr:row>
          <xdr:rowOff>180975</xdr:rowOff>
        </xdr:from>
        <xdr:to>
          <xdr:col>11</xdr:col>
          <xdr:colOff>133350</xdr:colOff>
          <xdr:row>3</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rPr>
                <a:t>Create Geometry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25"/>
  <sheetViews>
    <sheetView workbookViewId="0">
      <selection activeCell="A25" sqref="A25"/>
    </sheetView>
  </sheetViews>
  <sheetFormatPr defaultRowHeight="15" x14ac:dyDescent="0.25"/>
  <sheetData>
    <row r="1" spans="1:1" x14ac:dyDescent="0.25">
      <c r="A1" t="s">
        <v>33</v>
      </c>
    </row>
    <row r="3" spans="1:1" x14ac:dyDescent="0.25">
      <c r="A3" t="s">
        <v>34</v>
      </c>
    </row>
    <row r="5" spans="1:1" x14ac:dyDescent="0.25">
      <c r="A5" t="s">
        <v>35</v>
      </c>
    </row>
    <row r="7" spans="1:1" x14ac:dyDescent="0.25">
      <c r="A7" t="s">
        <v>37</v>
      </c>
    </row>
    <row r="9" spans="1:1" x14ac:dyDescent="0.25">
      <c r="A9" t="s">
        <v>36</v>
      </c>
    </row>
    <row r="11" spans="1:1" x14ac:dyDescent="0.25">
      <c r="A11" t="s">
        <v>42</v>
      </c>
    </row>
    <row r="13" spans="1:1" x14ac:dyDescent="0.25">
      <c r="A13" t="s">
        <v>43</v>
      </c>
    </row>
    <row r="15" spans="1:1" x14ac:dyDescent="0.25">
      <c r="A15" t="s">
        <v>44</v>
      </c>
    </row>
    <row r="16" spans="1:1" x14ac:dyDescent="0.25">
      <c r="A16" t="s">
        <v>38</v>
      </c>
    </row>
    <row r="18" spans="1:1" x14ac:dyDescent="0.25">
      <c r="A18" t="s">
        <v>45</v>
      </c>
    </row>
    <row r="20" spans="1:1" x14ac:dyDescent="0.25">
      <c r="A20" t="s">
        <v>46</v>
      </c>
    </row>
    <row r="22" spans="1:1" x14ac:dyDescent="0.25">
      <c r="A22" t="s">
        <v>47</v>
      </c>
    </row>
    <row r="24" spans="1:1" x14ac:dyDescent="0.25">
      <c r="A24" t="s">
        <v>48</v>
      </c>
    </row>
    <row r="25" spans="1:1" x14ac:dyDescent="0.25">
      <c r="A25" t="s">
        <v>39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I33"/>
  <sheetViews>
    <sheetView tabSelected="1" workbookViewId="0">
      <selection activeCell="M12" sqref="M12"/>
    </sheetView>
  </sheetViews>
  <sheetFormatPr defaultRowHeight="15" x14ac:dyDescent="0.25"/>
  <cols>
    <col min="3" max="3" width="13.42578125" customWidth="1"/>
    <col min="7" max="7" width="14.140625" bestFit="1" customWidth="1"/>
  </cols>
  <sheetData>
    <row r="1" spans="1:8" x14ac:dyDescent="0.25">
      <c r="A1" t="s">
        <v>2</v>
      </c>
      <c r="D1" t="s">
        <v>3</v>
      </c>
    </row>
    <row r="2" spans="1:8" x14ac:dyDescent="0.25">
      <c r="A2" t="s">
        <v>16</v>
      </c>
      <c r="D2" t="s">
        <v>17</v>
      </c>
    </row>
    <row r="3" spans="1:8" x14ac:dyDescent="0.25">
      <c r="D3" s="3"/>
      <c r="E3" s="3"/>
      <c r="F3" s="3"/>
      <c r="G3" s="3"/>
    </row>
    <row r="4" spans="1:8" x14ac:dyDescent="0.25">
      <c r="A4" t="s">
        <v>0</v>
      </c>
      <c r="F4" s="1">
        <v>6</v>
      </c>
      <c r="G4" t="str">
        <f>IF($D$2="English","in","m")</f>
        <v>in</v>
      </c>
    </row>
    <row r="5" spans="1:8" x14ac:dyDescent="0.25">
      <c r="A5" t="s">
        <v>1</v>
      </c>
      <c r="F5" s="1">
        <v>6</v>
      </c>
      <c r="G5" t="str">
        <f>IF($D$2="English","in","m")</f>
        <v>in</v>
      </c>
    </row>
    <row r="6" spans="1:8" x14ac:dyDescent="0.25">
      <c r="A6" t="s">
        <v>4</v>
      </c>
      <c r="F6">
        <v>0</v>
      </c>
      <c r="G6" t="s">
        <v>5</v>
      </c>
      <c r="H6" t="s">
        <v>32</v>
      </c>
    </row>
    <row r="7" spans="1:8" x14ac:dyDescent="0.25">
      <c r="A7" t="s">
        <v>6</v>
      </c>
      <c r="F7" s="1">
        <v>0.26</v>
      </c>
      <c r="G7" t="str">
        <f>IF($D$2="English","in","mm")</f>
        <v>in</v>
      </c>
    </row>
    <row r="8" spans="1:8" x14ac:dyDescent="0.25">
      <c r="A8" t="s">
        <v>7</v>
      </c>
      <c r="F8" s="1">
        <v>0.23</v>
      </c>
      <c r="G8" t="str">
        <f>IF($D$2="English","in","mm")</f>
        <v>in</v>
      </c>
    </row>
    <row r="10" spans="1:8" x14ac:dyDescent="0.25">
      <c r="A10" t="s">
        <v>8</v>
      </c>
      <c r="F10" s="1">
        <v>18</v>
      </c>
      <c r="G10" t="str">
        <f>IF($D$2="English","in","m")</f>
        <v>in</v>
      </c>
    </row>
    <row r="11" spans="1:8" x14ac:dyDescent="0.25">
      <c r="A11" t="s">
        <v>9</v>
      </c>
      <c r="F11" s="1">
        <v>18</v>
      </c>
      <c r="G11" t="str">
        <f>IF($D$2="English","in","m")</f>
        <v>in</v>
      </c>
    </row>
    <row r="12" spans="1:8" x14ac:dyDescent="0.25">
      <c r="A12" t="s">
        <v>10</v>
      </c>
      <c r="F12" s="1">
        <v>0.75</v>
      </c>
      <c r="G12" t="str">
        <f>IF($D$2="English","in","mm")</f>
        <v>in</v>
      </c>
    </row>
    <row r="13" spans="1:8" x14ac:dyDescent="0.25">
      <c r="A13" t="s">
        <v>40</v>
      </c>
      <c r="F13" s="1">
        <v>36</v>
      </c>
      <c r="G13" t="str">
        <f>IF($D$2="English","ksi","N/mm^2")</f>
        <v>ksi</v>
      </c>
    </row>
    <row r="15" spans="1:8" x14ac:dyDescent="0.25">
      <c r="A15" t="s">
        <v>12</v>
      </c>
      <c r="F15" s="1">
        <v>12</v>
      </c>
      <c r="G15" t="str">
        <f>IF($D$2="English","in","m")</f>
        <v>in</v>
      </c>
    </row>
    <row r="16" spans="1:8" x14ac:dyDescent="0.25">
      <c r="A16" t="s">
        <v>13</v>
      </c>
      <c r="F16" s="1">
        <v>0.75</v>
      </c>
      <c r="G16" t="str">
        <f>IF($D$2="English","in","mm")</f>
        <v>in</v>
      </c>
    </row>
    <row r="17" spans="1:9" x14ac:dyDescent="0.25">
      <c r="A17" t="s">
        <v>41</v>
      </c>
      <c r="F17" s="1">
        <v>36</v>
      </c>
      <c r="G17" t="s">
        <v>11</v>
      </c>
    </row>
    <row r="18" spans="1:9" x14ac:dyDescent="0.25">
      <c r="A18" t="s">
        <v>14</v>
      </c>
      <c r="F18" s="1">
        <v>9</v>
      </c>
      <c r="G18" t="str">
        <f>IF($D$2="English","in","m")</f>
        <v>in</v>
      </c>
    </row>
    <row r="19" spans="1:9" x14ac:dyDescent="0.25">
      <c r="A19" t="s">
        <v>15</v>
      </c>
      <c r="F19" s="1">
        <v>9</v>
      </c>
      <c r="G19" t="str">
        <f>IF($D$2="English","in","m")</f>
        <v>in</v>
      </c>
    </row>
    <row r="21" spans="1:9" x14ac:dyDescent="0.25">
      <c r="A21" t="s">
        <v>24</v>
      </c>
      <c r="F21" s="1">
        <v>4000</v>
      </c>
      <c r="G21" t="str">
        <f>IF($D$2="English","psi","N/mm^2")</f>
        <v>psi</v>
      </c>
      <c r="I21" t="s">
        <v>31</v>
      </c>
    </row>
    <row r="22" spans="1:9" x14ac:dyDescent="0.25">
      <c r="A22" t="s">
        <v>25</v>
      </c>
      <c r="F22" s="1">
        <v>48</v>
      </c>
      <c r="G22" t="str">
        <f>IF($D$2="English","in","m")</f>
        <v>in</v>
      </c>
    </row>
    <row r="23" spans="1:9" x14ac:dyDescent="0.25">
      <c r="A23" t="s">
        <v>26</v>
      </c>
      <c r="F23" s="2">
        <f>IF($D$2="English",57000*SQRT(F21)/48000,5000*F21^0.5/F22/1000/1000)</f>
        <v>75.104094428999005</v>
      </c>
      <c r="G23" t="str">
        <f>IF($D$2="English","ksi/in","kN/mm^2/mm")</f>
        <v>ksi/in</v>
      </c>
      <c r="I23" t="str">
        <f>CONCATENATE("5 TO 580 PLATE MAT DIRECT Y SUBGRADE ",ROUND(F23,2)," COMPRESSION")</f>
        <v>5 TO 580 PLATE MAT DIRECT Y SUBGRADE 75.1 COMPRESSION</v>
      </c>
    </row>
    <row r="24" spans="1:9" x14ac:dyDescent="0.25">
      <c r="I24" t="s">
        <v>30</v>
      </c>
    </row>
    <row r="25" spans="1:9" x14ac:dyDescent="0.25">
      <c r="A25" t="s">
        <v>27</v>
      </c>
      <c r="F25">
        <f>0.000283*F12</f>
        <v>2.1224999999999998E-4</v>
      </c>
      <c r="G25" t="str">
        <f>IF($D$2="English","ksi","kN/mm^2")</f>
        <v>ksi</v>
      </c>
    </row>
    <row r="27" spans="1:9" x14ac:dyDescent="0.25">
      <c r="A27" t="s">
        <v>29</v>
      </c>
    </row>
    <row r="28" spans="1:9" x14ac:dyDescent="0.25">
      <c r="A28" t="s">
        <v>18</v>
      </c>
      <c r="B28" s="1">
        <v>-1</v>
      </c>
      <c r="C28" t="str">
        <f>IF($D$2="English","kips","kN")</f>
        <v>kips</v>
      </c>
    </row>
    <row r="29" spans="1:9" x14ac:dyDescent="0.25">
      <c r="A29" t="s">
        <v>19</v>
      </c>
      <c r="B29" s="1">
        <v>1</v>
      </c>
      <c r="C29" t="str">
        <f>IF($D$2="English","kips","kN")</f>
        <v>kips</v>
      </c>
    </row>
    <row r="30" spans="1:9" x14ac:dyDescent="0.25">
      <c r="A30" t="s">
        <v>20</v>
      </c>
      <c r="B30" s="1">
        <v>-1</v>
      </c>
      <c r="C30" t="str">
        <f>IF($D$2="English","kips","kN")</f>
        <v>kips</v>
      </c>
      <c r="D30" t="s">
        <v>28</v>
      </c>
    </row>
    <row r="31" spans="1:9" x14ac:dyDescent="0.25">
      <c r="A31" t="s">
        <v>21</v>
      </c>
      <c r="B31" s="1">
        <v>-20</v>
      </c>
      <c r="C31" t="str">
        <f>IF($D$2="English","kips-in","kN-mm")</f>
        <v>kips-in</v>
      </c>
      <c r="D31">
        <f>B31-B30*10</f>
        <v>-10</v>
      </c>
      <c r="E31" t="str">
        <f>IF($D$2="English","kips-in","kN-mm")</f>
        <v>kips-in</v>
      </c>
    </row>
    <row r="32" spans="1:9" x14ac:dyDescent="0.25">
      <c r="A32" t="s">
        <v>22</v>
      </c>
      <c r="B32" s="1">
        <v>12</v>
      </c>
      <c r="C32" t="str">
        <f>IF($D$2="English","kips-in","kN-mm")</f>
        <v>kips-in</v>
      </c>
      <c r="D32">
        <f>B32</f>
        <v>12</v>
      </c>
      <c r="E32" t="str">
        <f>IF($D$2="English","kips-in","kN-mm")</f>
        <v>kips-in</v>
      </c>
    </row>
    <row r="33" spans="1:5" x14ac:dyDescent="0.25">
      <c r="A33" t="s">
        <v>23</v>
      </c>
      <c r="B33" s="1">
        <v>20</v>
      </c>
      <c r="C33" t="str">
        <f>IF($D$2="English","kips-in","kN-mm")</f>
        <v>kips-in</v>
      </c>
      <c r="D33">
        <f>B33-B28*10</f>
        <v>30</v>
      </c>
      <c r="E33" t="str">
        <f>IF($D$2="English","kips-in","kN-mm")</f>
        <v>kips-in</v>
      </c>
    </row>
  </sheetData>
  <dataValidations count="1">
    <dataValidation type="list" allowBlank="1" showInputMessage="1" showErrorMessage="1" sqref="D2" xr:uid="{00000000-0002-0000-0100-000000000000}">
      <formula1>"English,Metric"</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FixedBP">
                <anchor moveWithCells="1">
                  <from>
                    <xdr:col>9</xdr:col>
                    <xdr:colOff>161925</xdr:colOff>
                    <xdr:row>1</xdr:row>
                    <xdr:rowOff>180975</xdr:rowOff>
                  </from>
                  <to>
                    <xdr:col>11</xdr:col>
                    <xdr:colOff>133350</xdr:colOff>
                    <xdr:row>3</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Geometry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Home</dc:creator>
  <cp:lastModifiedBy>Ruten Patel</cp:lastModifiedBy>
  <dcterms:created xsi:type="dcterms:W3CDTF">2018-03-25T13:34:16Z</dcterms:created>
  <dcterms:modified xsi:type="dcterms:W3CDTF">2019-04-15T08:48:22Z</dcterms:modified>
</cp:coreProperties>
</file>